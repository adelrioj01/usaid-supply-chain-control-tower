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611fc13ff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86a5def663487f"/>
    <x:sheet xmlns:r="http://schemas.openxmlformats.org/officeDocument/2006/relationships" name="Country and mode" sheetId="2" r:id="R21b015ce8f8a4d66"/>
    <x:sheet xmlns:r="http://schemas.openxmlformats.org/officeDocument/2006/relationships" name="Data quality" sheetId="3" r:id="R9b104c2d3ed042d4"/>
    <x:sheet xmlns:r="http://schemas.openxmlformats.org/officeDocument/2006/relationships" name="Data dictionary" sheetId="4" r:id="R3ba382261fd7491e"/>
    <x:sheet xmlns:r="http://schemas.openxmlformats.org/officeDocument/2006/relationships" name="Source" sheetId="5" r:id="R38cbe689eae1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&quot;$&quot;#,##0"/>
    <x:numFmt numFmtId="203" formatCode="&quot;$&quot;0.00"/>
  </x:numFmts>
  <x:fonts count="6">
    <x:font>
      <x:sz val="11"/>
      <x:name val="Carlito"/>
    </x:font>
    <x:font>
      <x:b/>
      <x:sz val="16"/>
      <x:color rgb="FF16324F"/>
      <x:name val="Arial"/>
    </x:font>
    <x:font>
      <x:i/>
      <x:sz val="10"/>
      <x:color rgb="FF627D98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1"/>
      <x:color rgb="FF1632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8">
    <x:border/>
    <x:border>
      <x:bottom style="thin">
        <x:color rgb="FF176B87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5253ce6134fc2" /><Relationship Type="http://schemas.openxmlformats.org/officeDocument/2006/relationships/theme" Target="/xl/theme/theme1.xml" Id="R1d1044ceb1004df9" /><Relationship Type="http://schemas.openxmlformats.org/officeDocument/2006/relationships/sharedStrings" Target="/xl/sharedStrings.xml" Id="R77e78ca2a65944d0" /><Relationship Type="http://schemas.openxmlformats.org/officeDocument/2006/relationships/worksheet" Target="/xl/worksheets/sheet1.xml" Id="R0d86a5def663487f" /><Relationship Type="http://schemas.openxmlformats.org/officeDocument/2006/relationships/worksheet" Target="/xl/worksheets/sheet2.xml" Id="R21b015ce8f8a4d66" /><Relationship Type="http://schemas.openxmlformats.org/officeDocument/2006/relationships/worksheet" Target="/xl/worksheets/sheet3.xml" Id="R9b104c2d3ed042d4" /><Relationship Type="http://schemas.openxmlformats.org/officeDocument/2006/relationships/worksheet" Target="/xl/worksheets/sheet4.xml" Id="R3ba382261fd7491e" /><Relationship Type="http://schemas.openxmlformats.org/officeDocument/2006/relationships/worksheet" Target="/xl/worksheets/sheet5.xml" Id="R38cbe689eae144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4644fb6c6b48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2e915518c894d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Shipments and late shipments by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Shipments</c:v>
          </c:tx>
          <c:spPr>
            <a:ln xmlns:a="http://schemas.openxmlformats.org/drawingml/2006/main" w="19050">
              <a:solidFill>
                <a:srgbClr val="176B87"/>
              </a:solidFill>
              <a:prstDash val="solid"/>
            </a:ln>
          </c:spPr>
          <c:marker>
            <c:symbol val="none"/>
          </c:marker>
          <c:cat>
            <c:strRef>
              <c:f>'Overview'!$F$7:$F$16</c:f>
              <c:strCache>
                <c:ptCount val="0"/>
              </c:strCache>
            </c:strRef>
          </c:cat>
          <c:val>
            <c:numRef>
              <c:f>'Overview'!$G$7:$G$16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Late shipments</c:v>
          </c:tx>
          <c:spPr>
            <a:ln xmlns:a="http://schemas.openxmlformats.org/drawingml/2006/main" w="19050">
              <a:solidFill>
                <a:srgbClr val="C44536"/>
              </a:solidFill>
              <a:prstDash val="solid"/>
            </a:ln>
          </c:spPr>
          <c:marker>
            <c:symbol val="none"/>
          </c:marker>
          <c:cat>
            <c:strRef>
              <c:f>'Overview'!$F$7:$F$16</c:f>
              <c:strCache>
                <c:ptCount val="0"/>
              </c:strCache>
            </c:strRef>
          </c:cat>
          <c:val>
            <c:numRef>
              <c:f>'Overview'!$I$7:$I$16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Top countries by shipment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Shipments</c:v>
          </c:tx>
          <c:spPr>
            <a:solidFill xmlns:a="http://schemas.openxmlformats.org/drawingml/2006/main">
              <a:srgbClr val="176B87"/>
            </a:solidFill>
          </c:spPr>
          <c:cat>
            <c:strRef>
              <c:f>'Country and mode'!$A$7:$A$16</c:f>
              <c:strCache>
                <c:ptCount val="0"/>
              </c:strCache>
            </c:strRef>
          </c:cat>
          <c:val>
            <c:numRef>
              <c:f>'Country and mode'!$B$7:$B$16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4644fb6c6b483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e915518c894d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essedDataDictionary" displayName="ProcessedDataDictionary" ref="A6:C92" headerRowCount="1" totalsRowCount="0" totalsRowShown="0">
  <x:tableColumns count="3">
    <x:tableColumn id="1" name="Table"/>
    <x:tableColumn id="2" name="Column"/>
    <x:tableColumn id="3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d8dc83aca749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0ccb5b3a5b5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edae49a7cd040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2">
      <x:c r="A2" s="1" t="str">
        <x:v>USAID supply chain data profile</x:v>
      </x:c>
    </x:row>
    <x:row r="3">
      <x:c r="A3" s="2" t="str">
        <x:v>Historical health-commodity deliveries | 2006–2015 | shipment and line-item model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6" ht="24" customHeight="1">
      <x:c r="A6" s="10" t="str">
        <x:v>Metric</x:v>
      </x:c>
      <x:c r="B6" s="11" t="str">
        <x:v>Value</x:v>
      </x:c>
      <x:c r="F6" s="10" t="str">
        <x:v>Year</x:v>
      </x:c>
      <x:c r="G6" s="26" t="str">
        <x:v>Shipments</x:v>
      </x:c>
      <x:c r="H6" s="26" t="str">
        <x:v>Shipment lines</x:v>
      </x:c>
      <x:c r="I6" s="26" t="str">
        <x:v>Late shipments</x:v>
      </x:c>
      <x:c r="J6" s="11" t="str">
        <x:v>Commodity value (USD)</x:v>
      </x:c>
      <x:c r="M6" s="10" t="str">
        <x:v>Mode</x:v>
      </x:c>
      <x:c r="N6" s="26" t="str">
        <x:v>Freight cost (USD)</x:v>
      </x:c>
      <x:c r="O6" s="26" t="str">
        <x:v>Weight (kg)</x:v>
      </x:c>
      <x:c r="P6" s="26" t="str">
        <x:v>Shipments</x:v>
      </x:c>
      <x:c r="Q6" s="11" t="str">
        <x:v>On-time rate</x:v>
      </x:c>
    </x:row>
    <x:row r="7">
      <x:c r="A7" s="16" t="str">
        <x:v>Shipments</x:v>
      </x:c>
      <x:c r="B7" s="19" t="n">
        <x:f>SUM(G7:G16)</x:f>
        <x:v>7030</x:v>
      </x:c>
      <x:c r="F7" s="19" t="n">
        <x:v>2006</x:v>
      </x:c>
      <x:c r="G7" s="19" t="n">
        <x:v>52</x:v>
      </x:c>
      <x:c r="H7" s="19" t="n">
        <x:v>65</x:v>
      </x:c>
      <x:c r="I7" s="19" t="n">
        <x:v>0</x:v>
      </x:c>
      <x:c r="J7" s="28" t="n">
        <x:v>4844512.44</x:v>
      </x:c>
      <x:c r="M7" s="16" t="str">
        <x:v>Air</x:v>
      </x:c>
      <x:c r="N7" s="28" t="n">
        <x:v>43038623.50000002</x:v>
      </x:c>
      <x:c r="O7" s="19" t="n">
        <x:v>8301064</x:v>
      </x:c>
      <x:c r="P7" s="19" t="n">
        <x:v>4541</x:v>
      </x:c>
      <x:c r="Q7" s="30" t="n">
        <x:v>0.914556265139837</x:v>
      </x:c>
    </x:row>
    <x:row r="8">
      <x:c r="A8" s="17" t="str">
        <x:v>Shipment lines</x:v>
      </x:c>
      <x:c r="B8" s="20" t="n">
        <x:f>SUM(H7:H16)</x:f>
        <x:v>10324</x:v>
      </x:c>
      <x:c r="F8" s="20" t="n">
        <x:v>2007</x:v>
      </x:c>
      <x:c r="G8" s="20" t="n">
        <x:v>454</x:v>
      </x:c>
      <x:c r="H8" s="20" t="n">
        <x:v>671</x:v>
      </x:c>
      <x:c r="I8" s="20" t="n">
        <x:v>11</x:v>
      </x:c>
      <x:c r="J8" s="22" t="n">
        <x:v>59636228.169999994</x:v>
      </x:c>
      <x:c r="M8" s="17" t="str">
        <x:v>Truck</x:v>
      </x:c>
      <x:c r="N8" s="22" t="n">
        <x:v>11865688.229999995</x:v>
      </x:c>
      <x:c r="O8" s="20" t="n">
        <x:v>7768994</x:v>
      </x:c>
      <x:c r="P8" s="20" t="n">
        <x:v>1442</x:v>
      </x:c>
      <x:c r="Q8" s="21" t="n">
        <x:v>0.7933425797503467</x:v>
      </x:c>
    </x:row>
    <x:row r="9">
      <x:c r="A9" s="17" t="str">
        <x:v>On-time delivery rate</x:v>
      </x:c>
      <x:c r="B9" s="21" t="n">
        <x:f>1-SUM(I7:I16)/SUM(G7:G16)</x:f>
        <x:v>0.8856330014224751</x:v>
      </x:c>
      <x:c r="F9" s="20" t="n">
        <x:v>2008</x:v>
      </x:c>
      <x:c r="G9" s="20" t="n">
        <x:v>697</x:v>
      </x:c>
      <x:c r="H9" s="20" t="n">
        <x:v>1108</x:v>
      </x:c>
      <x:c r="I9" s="20" t="n">
        <x:v>14</x:v>
      </x:c>
      <x:c r="J9" s="22" t="n">
        <x:v>113542681.01</x:v>
      </x:c>
      <x:c r="M9" s="17" t="str">
        <x:v>Air Charter</x:v>
      </x:c>
      <x:c r="N9" s="22" t="n">
        <x:v>8926108.480000002</x:v>
      </x:c>
      <x:c r="O9" s="20" t="n">
        <x:v>3420128</x:v>
      </x:c>
      <x:c r="P9" s="20" t="n">
        <x:v>494</x:v>
      </x:c>
      <x:c r="Q9" s="21" t="n">
        <x:v>0.8947368421052632</x:v>
      </x:c>
    </x:row>
    <x:row r="10">
      <x:c r="A10" s="17" t="str">
        <x:v>Late shipments</x:v>
      </x:c>
      <x:c r="B10" s="20" t="n">
        <x:f>SUM(I7:I16)</x:f>
        <x:v>804</x:v>
      </x:c>
      <x:c r="F10" s="20" t="n">
        <x:v>2009</x:v>
      </x:c>
      <x:c r="G10" s="20" t="n">
        <x:v>840</x:v>
      </x:c>
      <x:c r="H10" s="20" t="n">
        <x:v>1192</x:v>
      </x:c>
      <x:c r="I10" s="20" t="n">
        <x:v>28</x:v>
      </x:c>
      <x:c r="J10" s="22" t="n">
        <x:v>131690555.81999995</x:v>
      </x:c>
      <x:c r="M10" s="17" t="str">
        <x:v>Ocean</x:v>
      </x:c>
      <x:c r="N10" s="22" t="n">
        <x:v>3590728.7900000005</x:v>
      </x:c>
      <x:c r="O10" s="20" t="n">
        <x:v>1939423</x:v>
      </x:c>
      <x:c r="P10" s="20" t="n">
        <x:v>327</x:v>
      </x:c>
      <x:c r="Q10" s="21" t="n">
        <x:v>0.8073394495412844</x:v>
      </x:c>
    </x:row>
    <x:row r="11">
      <x:c r="A11" s="17" t="str">
        <x:v>Commodity value (USD)</x:v>
      </x:c>
      <x:c r="B11" s="22" t="n">
        <x:f>SUM(J7:J16)</x:f>
        <x:v>1627584457.2900004</x:v>
      </x:c>
      <x:c r="F11" s="20" t="n">
        <x:v>2010</x:v>
      </x:c>
      <x:c r="G11" s="20" t="n">
        <x:v>908</x:v>
      </x:c>
      <x:c r="H11" s="20" t="n">
        <x:v>1176</x:v>
      </x:c>
      <x:c r="I11" s="20" t="n">
        <x:v>116</x:v>
      </x:c>
      <x:c r="J11" s="22" t="n">
        <x:v>161160835.87999997</x:v>
      </x:c>
      <x:c r="M11" s="18" t="str">
        <x:v>Unknown</x:v>
      </x:c>
      <x:c r="N11" s="29" t="n">
        <x:v>1396700.4100000004</x:v>
      </x:c>
      <x:c r="O11" s="27" t="n">
        <x:v>390931</x:v>
      </x:c>
      <x:c r="P11" s="27" t="n">
        <x:v>226</x:v>
      </x:c>
      <x:c r="Q11" s="31" t="n">
        <x:v>0.9867256637168141</x:v>
      </x:c>
    </x:row>
    <x:row r="12">
      <x:c r="A12" s="17" t="str">
        <x:v>Freight cost (USD)</x:v>
      </x:c>
      <x:c r="B12" s="22" t="n">
        <x:f>SUM(N7:N11)</x:f>
        <x:v>68817849.41000003</x:v>
      </x:c>
      <x:c r="F12" s="20" t="n">
        <x:v>2011</x:v>
      </x:c>
      <x:c r="G12" s="20" t="n">
        <x:v>851</x:v>
      </x:c>
      <x:c r="H12" s="20" t="n">
        <x:v>1049</x:v>
      </x:c>
      <x:c r="I12" s="20" t="n">
        <x:v>186</x:v>
      </x:c>
      <x:c r="J12" s="22" t="n">
        <x:v>229399084.30000013</x:v>
      </x:c>
    </x:row>
    <x:row r="13">
      <x:c r="A13" s="17" t="str">
        <x:v>Freight coverage</x:v>
      </x:c>
      <x:c r="B13" s="21" t="n">
        <x:f>0.8816500711237554</x:f>
        <x:v>0.8816500711237554</x:v>
      </x:c>
      <x:c r="F13" s="20" t="n">
        <x:v>2012</x:v>
      </x:c>
      <x:c r="G13" s="20" t="n">
        <x:v>885</x:v>
      </x:c>
      <x:c r="H13" s="20" t="n">
        <x:v>1253</x:v>
      </x:c>
      <x:c r="I13" s="20" t="n">
        <x:v>68</x:v>
      </x:c>
      <x:c r="J13" s="22" t="n">
        <x:v>240299574.95000014</x:v>
      </x:c>
    </x:row>
    <x:row r="14">
      <x:c r="A14" s="18" t="str">
        <x:v>Freight cost per kg</x:v>
      </x:c>
      <x:c r="B14" s="23" t="n">
        <x:f>3.2425594910342124</x:f>
        <x:v>3.2425594910342124</x:v>
      </x:c>
      <x:c r="F14" s="20" t="n">
        <x:v>2013</x:v>
      </x:c>
      <x:c r="G14" s="20" t="n">
        <x:v>858</x:v>
      </x:c>
      <x:c r="H14" s="20" t="n">
        <x:v>1240</x:v>
      </x:c>
      <x:c r="I14" s="20" t="n">
        <x:v>138</x:v>
      </x:c>
      <x:c r="J14" s="22" t="n">
        <x:v>221855446.4100001</x:v>
      </x:c>
    </x:row>
    <x:row r="15">
      <x:c r="F15" s="20" t="n">
        <x:v>2014</x:v>
      </x:c>
      <x:c r="G15" s="20" t="n">
        <x:v>930</x:v>
      </x:c>
      <x:c r="H15" s="20" t="n">
        <x:v>1573</x:v>
      </x:c>
      <x:c r="I15" s="20" t="n">
        <x:v>171</x:v>
      </x:c>
      <x:c r="J15" s="22" t="n">
        <x:v>265671840.38000014</x:v>
      </x:c>
    </x:row>
    <x:row r="16">
      <x:c r="F16" s="27" t="n">
        <x:v>2015</x:v>
      </x:c>
      <x:c r="G16" s="27" t="n">
        <x:v>555</x:v>
      </x:c>
      <x:c r="H16" s="27" t="n">
        <x:v>997</x:v>
      </x:c>
      <x:c r="I16" s="27" t="n">
        <x:v>72</x:v>
      </x:c>
      <x:c r="J16" s="29" t="n">
        <x:v>199483697.92999995</x:v>
      </x:c>
    </x:row>
  </x:sheetData>
  <x:pageMargins left="0.7" right="0.7" top="0.75" bottom="0.75" header="0.3" footer="0.3"/>
  <x:drawing xmlns:r="http://schemas.openxmlformats.org/officeDocument/2006/relationships" r:id="R0ad8dc83aca7496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.130000114440918" hidden="0" customWidth="1"/>
    <x:col min="3" max="3" width="12.75" hidden="0" customWidth="1"/>
    <x:col min="4" max="4" width="19.5" hidden="0" customWidth="1"/>
    <x:col min="5" max="5" width="15.25" hidden="0" customWidth="1"/>
    <x:col min="7" max="7" width="13.130000114440918" hidden="0" customWidth="1"/>
    <x:col min="8" max="8" width="9.130000114440918" hidden="0" customWidth="1"/>
    <x:col min="9" max="9" width="10.380000114440918" hidden="0" customWidth="1"/>
    <x:col min="10" max="10" width="15.25" hidden="0" customWidth="1"/>
  </x:cols>
  <x:sheetData>
    <x:row r="2">
      <x:c r="A2" s="1" t="str">
        <x:v>Country and shipment-mode profile</x:v>
      </x:c>
    </x:row>
    <x:row r="3">
      <x:c r="A3" s="2" t="str">
        <x:v>Counts use shipment grain; freight excludes nonnumeric source values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 ht="24" customHeight="1">
      <x:c r="A6" s="10" t="str">
        <x:v>Country</x:v>
      </x:c>
      <x:c r="B6" s="26" t="str">
        <x:v>Shipments</x:v>
      </x:c>
      <x:c r="C6" s="26" t="str">
        <x:v>Late shipments</x:v>
      </x:c>
      <x:c r="D6" s="26" t="str">
        <x:v>Commodity value (USD)</x:v>
      </x:c>
      <x:c r="E6" s="11" t="str">
        <x:v>Freight cost (USD)</x:v>
      </x:c>
      <x:c r="G6" s="10" t="str">
        <x:v>Shipment mode</x:v>
      </x:c>
      <x:c r="H6" s="26" t="str">
        <x:v>Shipments</x:v>
      </x:c>
      <x:c r="I6" s="26" t="str">
        <x:v>On-time rate</x:v>
      </x:c>
      <x:c r="J6" s="11" t="str">
        <x:v>Freight cost (USD)</x:v>
      </x:c>
    </x:row>
    <x:row r="7">
      <x:c r="A7" s="16" t="str">
        <x:v>Nigeria</x:v>
      </x:c>
      <x:c r="B7" s="19" t="n">
        <x:v>927</x:v>
      </x:c>
      <x:c r="C7" s="19" t="n">
        <x:v>112</x:v>
      </x:c>
      <x:c r="D7" s="28" t="n">
        <x:v>350272104.8699998</x:v>
      </x:c>
      <x:c r="E7" s="28" t="n">
        <x:v>14268550.390000004</x:v>
      </x:c>
      <x:c r="G7" s="16" t="str">
        <x:v>Air</x:v>
      </x:c>
      <x:c r="H7" s="19" t="n">
        <x:v>4541</x:v>
      </x:c>
      <x:c r="I7" s="30" t="n">
        <x:v>0.914556265139837</x:v>
      </x:c>
      <x:c r="J7" s="28" t="n">
        <x:v>43038623.50000002</x:v>
      </x:c>
    </x:row>
    <x:row r="8">
      <x:c r="A8" s="17" t="str">
        <x:v>Côte d'Ivoire</x:v>
      </x:c>
      <x:c r="B8" s="20" t="n">
        <x:v>760</x:v>
      </x:c>
      <x:c r="C8" s="20" t="n">
        <x:v>82</x:v>
      </x:c>
      <x:c r="D8" s="22" t="n">
        <x:v>120884500.89000015</x:v>
      </x:c>
      <x:c r="E8" s="22" t="n">
        <x:v>6092165.510000006</x:v>
      </x:c>
      <x:c r="G8" s="17" t="str">
        <x:v>Truck</x:v>
      </x:c>
      <x:c r="H8" s="20" t="n">
        <x:v>1442</x:v>
      </x:c>
      <x:c r="I8" s="21" t="n">
        <x:v>0.7933425797503467</x:v>
      </x:c>
      <x:c r="J8" s="22" t="n">
        <x:v>11865688.229999995</x:v>
      </x:c>
    </x:row>
    <x:row r="9">
      <x:c r="A9" s="17" t="str">
        <x:v>Uganda</x:v>
      </x:c>
      <x:c r="B9" s="20" t="n">
        <x:v>584</x:v>
      </x:c>
      <x:c r="C9" s="20" t="n">
        <x:v>69</x:v>
      </x:c>
      <x:c r="D9" s="22" t="n">
        <x:v>96197336.16</x:v>
      </x:c>
      <x:c r="E9" s="22" t="n">
        <x:v>5484292.240000002</x:v>
      </x:c>
      <x:c r="G9" s="17" t="str">
        <x:v>Air Charter</x:v>
      </x:c>
      <x:c r="H9" s="20" t="n">
        <x:v>494</x:v>
      </x:c>
      <x:c r="I9" s="21" t="n">
        <x:v>0.8947368421052632</x:v>
      </x:c>
      <x:c r="J9" s="22" t="n">
        <x:v>8926108.480000002</x:v>
      </x:c>
    </x:row>
    <x:row r="10">
      <x:c r="A10" s="17" t="str">
        <x:v>South Africa</x:v>
      </x:c>
      <x:c r="B10" s="20" t="n">
        <x:v>581</x:v>
      </x:c>
      <x:c r="C10" s="20" t="n">
        <x:v>111</x:v>
      </x:c>
      <x:c r="D10" s="22" t="n">
        <x:v>108670145.47000007</x:v>
      </x:c>
      <x:c r="E10" s="22" t="n">
        <x:v>2493587.300000002</x:v>
      </x:c>
      <x:c r="G10" s="17" t="str">
        <x:v>Ocean</x:v>
      </x:c>
      <x:c r="H10" s="20" t="n">
        <x:v>327</x:v>
      </x:c>
      <x:c r="I10" s="21" t="n">
        <x:v>0.8073394495412844</x:v>
      </x:c>
      <x:c r="J10" s="22" t="n">
        <x:v>3590728.7900000005</x:v>
      </x:c>
    </x:row>
    <x:row r="11">
      <x:c r="A11" s="17" t="str">
        <x:v>Zambia</x:v>
      </x:c>
      <x:c r="B11" s="20" t="n">
        <x:v>540</x:v>
      </x:c>
      <x:c r="C11" s="20" t="n">
        <x:v>82</x:v>
      </x:c>
      <x:c r="D11" s="22" t="n">
        <x:v>246988840.40999997</x:v>
      </x:c>
      <x:c r="E11" s="22" t="n">
        <x:v>6310437.209999993</x:v>
      </x:c>
      <x:c r="G11" s="18" t="str">
        <x:v>Unknown</x:v>
      </x:c>
      <x:c r="H11" s="27" t="n">
        <x:v>226</x:v>
      </x:c>
      <x:c r="I11" s="31" t="n">
        <x:v>0.9867256637168141</x:v>
      </x:c>
      <x:c r="J11" s="29" t="n">
        <x:v>1396700.4100000004</x:v>
      </x:c>
    </x:row>
    <x:row r="12">
      <x:c r="A12" s="17" t="str">
        <x:v>Vietnam</x:v>
      </x:c>
      <x:c r="B12" s="20" t="n">
        <x:v>480</x:v>
      </x:c>
      <x:c r="C12" s="20" t="n">
        <x:v>6</x:v>
      </x:c>
      <x:c r="D12" s="22" t="n">
        <x:v>56974405.85999998</x:v>
      </x:c>
      <x:c r="E12" s="22" t="n">
        <x:v>2737277.290000002</x:v>
      </x:c>
    </x:row>
    <x:row r="13">
      <x:c r="A13" s="17" t="str">
        <x:v>Haiti</x:v>
      </x:c>
      <x:c r="B13" s="20" t="n">
        <x:v>448</x:v>
      </x:c>
      <x:c r="C13" s="20" t="n">
        <x:v>30</x:v>
      </x:c>
      <x:c r="D13" s="22" t="n">
        <x:v>43502785.9</x:v>
      </x:c>
      <x:c r="E13" s="22" t="n">
        <x:v>4000498.9300000006</x:v>
      </x:c>
    </x:row>
    <x:row r="14">
      <x:c r="A14" s="17" t="str">
        <x:v>Tanzania</x:v>
      </x:c>
      <x:c r="B14" s="20" t="n">
        <x:v>434</x:v>
      </x:c>
      <x:c r="C14" s="20" t="n">
        <x:v>50</x:v>
      </x:c>
      <x:c r="D14" s="22" t="n">
        <x:v>129459495.65000004</x:v>
      </x:c>
      <x:c r="E14" s="22" t="n">
        <x:v>4827989.320000002</x:v>
      </x:c>
    </x:row>
    <x:row r="15">
      <x:c r="A15" s="17" t="str">
        <x:v>Mozambique</x:v>
      </x:c>
      <x:c r="B15" s="20" t="n">
        <x:v>404</x:v>
      </x:c>
      <x:c r="C15" s="20" t="n">
        <x:v>72</x:v>
      </x:c>
      <x:c r="D15" s="22" t="n">
        <x:v>182024690.72000003</x:v>
      </x:c>
      <x:c r="E15" s="22" t="n">
        <x:v>3294121.060000002</x:v>
      </x:c>
    </x:row>
    <x:row r="16">
      <x:c r="A16" s="18" t="str">
        <x:v>Rwanda</x:v>
      </x:c>
      <x:c r="B16" s="27" t="n">
        <x:v>377</x:v>
      </x:c>
      <x:c r="C16" s="27" t="n">
        <x:v>30</x:v>
      </x:c>
      <x:c r="D16" s="29" t="n">
        <x:v>71127583.08000001</x:v>
      </x:c>
      <x:c r="E16" s="29" t="n">
        <x:v>5893493.230000002</x:v>
      </x:c>
    </x:row>
  </x:sheetData>
  <x:pageMargins left="0.7" right="0.7" top="0.75" bottom="0.75" header="0.3" footer="0.3"/>
  <x:drawing xmlns:r="http://schemas.openxmlformats.org/officeDocument/2006/relationships" r:id="R10ccb5b3a5b549b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.630000114440918" hidden="0" customWidth="1"/>
    <x:col min="3" max="3" width="40" hidden="0" customWidth="1"/>
  </x:cols>
  <x:sheetData>
    <x:row r="2">
      <x:c r="A2" s="1" t="str">
        <x:v>Data quality and metric coverage</x:v>
      </x:c>
    </x:row>
    <x:row r="3">
      <x:c r="A3" s="2" t="str">
        <x:v>Missing numeric values remain null and appear in coverage measures</x:v>
      </x:c>
    </x:row>
    <x:row r="4">
      <x:c r="A4" s="3"/>
      <x:c r="B4" s="3"/>
      <x:c r="C4" s="3"/>
      <x:c r="D4" s="3"/>
      <x:c r="E4" s="3"/>
      <x:c r="F4" s="3"/>
    </x:row>
    <x:row r="6" ht="24" customHeight="1">
      <x:c r="A6" s="10" t="str">
        <x:v>Check</x:v>
      </x:c>
      <x:c r="B6" s="26" t="str">
        <x:v>Count</x:v>
      </x:c>
      <x:c r="C6" s="11" t="str">
        <x:v>Treatment</x:v>
      </x:c>
    </x:row>
    <x:row r="7">
      <x:c r="A7" s="16" t="str">
        <x:v>Raw shipment lines</x:v>
      </x:c>
      <x:c r="B7" s="19" t="n">
        <x:v>10324</x:v>
      </x:c>
      <x:c r="C7" s="16" t="str">
        <x:v>Retained</x:v>
      </x:c>
    </x:row>
    <x:row r="8">
      <x:c r="A8" s="17" t="str">
        <x:v>Distinct shipments</x:v>
      </x:c>
      <x:c r="B8" s="20" t="n">
        <x:v>7030</x:v>
      </x:c>
      <x:c r="C8" s="17" t="str">
        <x:v>Aggregated by ASN/delivery note</x:v>
      </x:c>
    </x:row>
    <x:row r="9">
      <x:c r="A9" s="17" t="str">
        <x:v>Freight blank or nonnumeric</x:v>
      </x:c>
      <x:c r="B9" s="20" t="n">
        <x:v>4126</x:v>
      </x:c>
      <x:c r="C9" s="17" t="str">
        <x:v>Null; excluded from freight measures</x:v>
      </x:c>
    </x:row>
    <x:row r="10">
      <x:c r="A10" s="17" t="str">
        <x:v>Weight blank or nonnumeric</x:v>
      </x:c>
      <x:c r="B10" s="20" t="n">
        <x:v>3952</x:v>
      </x:c>
      <x:c r="C10" s="17" t="str">
        <x:v>Null; excluded from weight measures</x:v>
      </x:c>
    </x:row>
    <x:row r="11">
      <x:c r="A11" s="17" t="str">
        <x:v>Insurance missing</x:v>
      </x:c>
      <x:c r="B11" s="20" t="n">
        <x:v>287</x:v>
      </x:c>
      <x:c r="C11" s="17" t="str">
        <x:v>Null; excluded from insurance totals</x:v>
      </x:c>
    </x:row>
    <x:row r="12">
      <x:c r="A12" s="18" t="str">
        <x:v>Delivery-eligible shipments</x:v>
      </x:c>
      <x:c r="B12" s="27" t="n">
        <x:v>7030</x:v>
      </x:c>
      <x:c r="C12" s="18" t="str">
        <x:v>Included in on-time rate</x:v>
      </x:c>
    </x:row>
    <x:row r="15" ht="24" customHeight="1">
      <x:c r="A15" s="10" t="str">
        <x:v>Coverage</x:v>
      </x:c>
      <x:c r="B15" s="11" t="str">
        <x:v>Rate</x:v>
      </x:c>
    </x:row>
    <x:row r="16">
      <x:c r="A16" s="16" t="str">
        <x:v>Freight coverage</x:v>
      </x:c>
      <x:c r="B16" s="30" t="n">
        <x:v>0.8816500711237554</x:v>
      </x:c>
    </x:row>
    <x:row r="17">
      <x:c r="A17" s="18" t="str">
        <x:v>Weight coverage</x:v>
      </x:c>
      <x:c r="B17" s="31" t="n">
        <x:v>0.9064011379800854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4" hidden="0" customWidth="1"/>
  </x:cols>
  <x:sheetData>
    <x:row r="2">
      <x:c r="A2" s="1" t="str">
        <x:v>Processed data dictionary</x:v>
      </x:c>
    </x:row>
    <x:row r="3">
      <x:c r="A3" s="2" t="str">
        <x:v>Columns generated by the reproducible source-to-model pipeline</x:v>
      </x:c>
    </x:row>
    <x:row r="4">
      <x:c r="A4" s="3"/>
      <x:c r="B4" s="3"/>
      <x:c r="C4" s="3"/>
    </x:row>
    <x:row r="6" ht="24" customHeight="1">
      <x:c r="A6" s="10" t="str">
        <x:v>Table</x:v>
      </x:c>
      <x:c r="B6" s="26" t="str">
        <x:v>Column</x:v>
      </x:c>
      <x:c r="C6" s="11" t="str">
        <x:v>Role</x:v>
      </x:c>
    </x:row>
    <x:row r="7">
      <x:c r="A7" s="16" t="str">
        <x:v>DimCountry</x:v>
      </x:c>
      <x:c r="B7" s="16" t="str">
        <x:v>CountryKey</x:v>
      </x:c>
      <x:c r="C7" s="16" t="str">
        <x:v>Key / relationship</x:v>
      </x:c>
    </x:row>
    <x:row r="8">
      <x:c r="A8" s="17" t="str">
        <x:v>DimCountry</x:v>
      </x:c>
      <x:c r="B8" s="17" t="str">
        <x:v>Country</x:v>
      </x:c>
      <x:c r="C8" s="17" t="str">
        <x:v>Attribute</x:v>
      </x:c>
    </x:row>
    <x:row r="9">
      <x:c r="A9" s="17" t="str">
        <x:v>DimDate</x:v>
      </x:c>
      <x:c r="B9" s="17" t="str">
        <x:v>DateKey</x:v>
      </x:c>
      <x:c r="C9" s="17" t="str">
        <x:v>Date relationship</x:v>
      </x:c>
    </x:row>
    <x:row r="10">
      <x:c r="A10" s="17" t="str">
        <x:v>DimDate</x:v>
      </x:c>
      <x:c r="B10" s="17" t="str">
        <x:v>Date</x:v>
      </x:c>
      <x:c r="C10" s="17" t="str">
        <x:v>Attribute</x:v>
      </x:c>
    </x:row>
    <x:row r="11">
      <x:c r="A11" s="17" t="str">
        <x:v>DimDate</x:v>
      </x:c>
      <x:c r="B11" s="17" t="str">
        <x:v>Year</x:v>
      </x:c>
      <x:c r="C11" s="17" t="str">
        <x:v>Attribute</x:v>
      </x:c>
    </x:row>
    <x:row r="12">
      <x:c r="A12" s="17" t="str">
        <x:v>DimDate</x:v>
      </x:c>
      <x:c r="B12" s="17" t="str">
        <x:v>Quarter</x:v>
      </x:c>
      <x:c r="C12" s="17" t="str">
        <x:v>Attribute</x:v>
      </x:c>
    </x:row>
    <x:row r="13">
      <x:c r="A13" s="17" t="str">
        <x:v>DimDate</x:v>
      </x:c>
      <x:c r="B13" s="17" t="str">
        <x:v>MonthNumber</x:v>
      </x:c>
      <x:c r="C13" s="17" t="str">
        <x:v>Attribute</x:v>
      </x:c>
    </x:row>
    <x:row r="14">
      <x:c r="A14" s="17" t="str">
        <x:v>DimDate</x:v>
      </x:c>
      <x:c r="B14" s="17" t="str">
        <x:v>MonthName</x:v>
      </x:c>
      <x:c r="C14" s="17" t="str">
        <x:v>Attribute</x:v>
      </x:c>
    </x:row>
    <x:row r="15">
      <x:c r="A15" s="17" t="str">
        <x:v>DimDate</x:v>
      </x:c>
      <x:c r="B15" s="17" t="str">
        <x:v>YearMonth</x:v>
      </x:c>
      <x:c r="C15" s="17" t="str">
        <x:v>Attribute</x:v>
      </x:c>
    </x:row>
    <x:row r="16">
      <x:c r="A16" s="17" t="str">
        <x:v>DimDate</x:v>
      </x:c>
      <x:c r="B16" s="17" t="str">
        <x:v>WeekNumber</x:v>
      </x:c>
      <x:c r="C16" s="17" t="str">
        <x:v>Attribute</x:v>
      </x:c>
    </x:row>
    <x:row r="17">
      <x:c r="A17" s="17" t="str">
        <x:v>DimManufacturingSite</x:v>
      </x:c>
      <x:c r="B17" s="17" t="str">
        <x:v>ManufacturingSiteKey</x:v>
      </x:c>
      <x:c r="C17" s="17" t="str">
        <x:v>Key / relationship</x:v>
      </x:c>
    </x:row>
    <x:row r="18">
      <x:c r="A18" s="17" t="str">
        <x:v>DimManufacturingSite</x:v>
      </x:c>
      <x:c r="B18" s="17" t="str">
        <x:v>ManufacturingSite</x:v>
      </x:c>
      <x:c r="C18" s="17" t="str">
        <x:v>Attribute</x:v>
      </x:c>
    </x:row>
    <x:row r="19">
      <x:c r="A19" s="17" t="str">
        <x:v>DimProduct</x:v>
      </x:c>
      <x:c r="B19" s="17" t="str">
        <x:v>ProductKey</x:v>
      </x:c>
      <x:c r="C19" s="17" t="str">
        <x:v>Key / relationship</x:v>
      </x:c>
    </x:row>
    <x:row r="20">
      <x:c r="A20" s="17" t="str">
        <x:v>DimProduct</x:v>
      </x:c>
      <x:c r="B20" s="17" t="str">
        <x:v>ProductGroup</x:v>
      </x:c>
      <x:c r="C20" s="17" t="str">
        <x:v>Filter / quality</x:v>
      </x:c>
    </x:row>
    <x:row r="21">
      <x:c r="A21" s="17" t="str">
        <x:v>DimProduct</x:v>
      </x:c>
      <x:c r="B21" s="17" t="str">
        <x:v>SubClassification</x:v>
      </x:c>
      <x:c r="C21" s="17" t="str">
        <x:v>Filter / quality</x:v>
      </x:c>
    </x:row>
    <x:row r="22">
      <x:c r="A22" s="17" t="str">
        <x:v>DimProduct</x:v>
      </x:c>
      <x:c r="B22" s="17" t="str">
        <x:v>ItemDescription</x:v>
      </x:c>
      <x:c r="C22" s="17" t="str">
        <x:v>Attribute</x:v>
      </x:c>
    </x:row>
    <x:row r="23">
      <x:c r="A23" s="17" t="str">
        <x:v>DimProduct</x:v>
      </x:c>
      <x:c r="B23" s="17" t="str">
        <x:v>MoleculeOrTestType</x:v>
      </x:c>
      <x:c r="C23" s="17" t="str">
        <x:v>Attribute</x:v>
      </x:c>
    </x:row>
    <x:row r="24">
      <x:c r="A24" s="17" t="str">
        <x:v>DimProduct</x:v>
      </x:c>
      <x:c r="B24" s="17" t="str">
        <x:v>Brand</x:v>
      </x:c>
      <x:c r="C24" s="17" t="str">
        <x:v>Attribute</x:v>
      </x:c>
    </x:row>
    <x:row r="25">
      <x:c r="A25" s="17" t="str">
        <x:v>DimProduct</x:v>
      </x:c>
      <x:c r="B25" s="17" t="str">
        <x:v>Dosage</x:v>
      </x:c>
      <x:c r="C25" s="17" t="str">
        <x:v>Attribute</x:v>
      </x:c>
    </x:row>
    <x:row r="26">
      <x:c r="A26" s="17" t="str">
        <x:v>DimProduct</x:v>
      </x:c>
      <x:c r="B26" s="17" t="str">
        <x:v>DosageForm</x:v>
      </x:c>
      <x:c r="C26" s="17" t="str">
        <x:v>Attribute</x:v>
      </x:c>
    </x:row>
    <x:row r="27">
      <x:c r="A27" s="17" t="str">
        <x:v>DimProduct</x:v>
      </x:c>
      <x:c r="B27" s="17" t="str">
        <x:v>UnitsPerPack</x:v>
      </x:c>
      <x:c r="C27" s="17" t="str">
        <x:v>Attribute</x:v>
      </x:c>
    </x:row>
    <x:row r="28">
      <x:c r="A28" s="17" t="str">
        <x:v>DimProject</x:v>
      </x:c>
      <x:c r="B28" s="17" t="str">
        <x:v>ProjectKey</x:v>
      </x:c>
      <x:c r="C28" s="17" t="str">
        <x:v>Key / relationship</x:v>
      </x:c>
    </x:row>
    <x:row r="29">
      <x:c r="A29" s="17" t="str">
        <x:v>DimProject</x:v>
      </x:c>
      <x:c r="B29" s="17" t="str">
        <x:v>ProjectCode</x:v>
      </x:c>
      <x:c r="C29" s="17" t="str">
        <x:v>Attribute</x:v>
      </x:c>
    </x:row>
    <x:row r="30">
      <x:c r="A30" s="17" t="str">
        <x:v>DimShippingMethod</x:v>
      </x:c>
      <x:c r="B30" s="17" t="str">
        <x:v>ShippingMethodKey</x:v>
      </x:c>
      <x:c r="C30" s="17" t="str">
        <x:v>Key / relationship</x:v>
      </x:c>
    </x:row>
    <x:row r="31">
      <x:c r="A31" s="17" t="str">
        <x:v>DimShippingMethod</x:v>
      </x:c>
      <x:c r="B31" s="17" t="str">
        <x:v>ManagedBy</x:v>
      </x:c>
      <x:c r="C31" s="17" t="str">
        <x:v>Attribute</x:v>
      </x:c>
    </x:row>
    <x:row r="32">
      <x:c r="A32" s="17" t="str">
        <x:v>DimShippingMethod</x:v>
      </x:c>
      <x:c r="B32" s="17" t="str">
        <x:v>FulfillVia</x:v>
      </x:c>
      <x:c r="C32" s="17" t="str">
        <x:v>Attribute</x:v>
      </x:c>
    </x:row>
    <x:row r="33">
      <x:c r="A33" s="17" t="str">
        <x:v>DimShippingMethod</x:v>
      </x:c>
      <x:c r="B33" s="17" t="str">
        <x:v>VendorIncoterm</x:v>
      </x:c>
      <x:c r="C33" s="17" t="str">
        <x:v>Attribute</x:v>
      </x:c>
    </x:row>
    <x:row r="34">
      <x:c r="A34" s="17" t="str">
        <x:v>DimShippingMethod</x:v>
      </x:c>
      <x:c r="B34" s="17" t="str">
        <x:v>ShipmentMode</x:v>
      </x:c>
      <x:c r="C34" s="17" t="str">
        <x:v>Filter / quality</x:v>
      </x:c>
    </x:row>
    <x:row r="35">
      <x:c r="A35" s="17" t="str">
        <x:v>DimVendor</x:v>
      </x:c>
      <x:c r="B35" s="17" t="str">
        <x:v>VendorKey</x:v>
      </x:c>
      <x:c r="C35" s="17" t="str">
        <x:v>Key / relationship</x:v>
      </x:c>
    </x:row>
    <x:row r="36">
      <x:c r="A36" s="17" t="str">
        <x:v>DimVendor</x:v>
      </x:c>
      <x:c r="B36" s="17" t="str">
        <x:v>Vendor</x:v>
      </x:c>
      <x:c r="C36" s="17" t="str">
        <x:v>Attribute</x:v>
      </x:c>
    </x:row>
    <x:row r="37">
      <x:c r="A37" s="17" t="str">
        <x:v>FactShipmentLines</x:v>
      </x:c>
      <x:c r="B37" s="17" t="str">
        <x:v>ShipmentLineKey</x:v>
      </x:c>
      <x:c r="C37" s="17" t="str">
        <x:v>Key / relationship</x:v>
      </x:c>
    </x:row>
    <x:row r="38">
      <x:c r="A38" s="17" t="str">
        <x:v>FactShipmentLines</x:v>
      </x:c>
      <x:c r="B38" s="17" t="str">
        <x:v>SourceRowNumber</x:v>
      </x:c>
      <x:c r="C38" s="17" t="str">
        <x:v>Attribute</x:v>
      </x:c>
    </x:row>
    <x:row r="39">
      <x:c r="A39" s="17" t="str">
        <x:v>FactShipmentLines</x:v>
      </x:c>
      <x:c r="B39" s="17" t="str">
        <x:v>ProjectKey</x:v>
      </x:c>
      <x:c r="C39" s="17" t="str">
        <x:v>Key / relationship</x:v>
      </x:c>
    </x:row>
    <x:row r="40">
      <x:c r="A40" s="17" t="str">
        <x:v>FactShipmentLines</x:v>
      </x:c>
      <x:c r="B40" s="17" t="str">
        <x:v>CountryKey</x:v>
      </x:c>
      <x:c r="C40" s="17" t="str">
        <x:v>Key / relationship</x:v>
      </x:c>
    </x:row>
    <x:row r="41">
      <x:c r="A41" s="17" t="str">
        <x:v>FactShipmentLines</x:v>
      </x:c>
      <x:c r="B41" s="17" t="str">
        <x:v>VendorKey</x:v>
      </x:c>
      <x:c r="C41" s="17" t="str">
        <x:v>Key / relationship</x:v>
      </x:c>
    </x:row>
    <x:row r="42">
      <x:c r="A42" s="17" t="str">
        <x:v>FactShipmentLines</x:v>
      </x:c>
      <x:c r="B42" s="17" t="str">
        <x:v>ProductKey</x:v>
      </x:c>
      <x:c r="C42" s="17" t="str">
        <x:v>Key / relationship</x:v>
      </x:c>
    </x:row>
    <x:row r="43">
      <x:c r="A43" s="17" t="str">
        <x:v>FactShipmentLines</x:v>
      </x:c>
      <x:c r="B43" s="17" t="str">
        <x:v>ManufacturingSiteKey</x:v>
      </x:c>
      <x:c r="C43" s="17" t="str">
        <x:v>Key / relationship</x:v>
      </x:c>
    </x:row>
    <x:row r="44">
      <x:c r="A44" s="17" t="str">
        <x:v>FactShipmentLines</x:v>
      </x:c>
      <x:c r="B44" s="17" t="str">
        <x:v>ShippingMethodKey</x:v>
      </x:c>
      <x:c r="C44" s="17" t="str">
        <x:v>Key / relationship</x:v>
      </x:c>
    </x:row>
    <x:row r="45">
      <x:c r="A45" s="17" t="str">
        <x:v>FactShipmentLines</x:v>
      </x:c>
      <x:c r="B45" s="17" t="str">
        <x:v>OrderDateKey</x:v>
      </x:c>
      <x:c r="C45" s="17" t="str">
        <x:v>Date relationship</x:v>
      </x:c>
    </x:row>
    <x:row r="46">
      <x:c r="A46" s="17" t="str">
        <x:v>FactShipmentLines</x:v>
      </x:c>
      <x:c r="B46" s="17" t="str">
        <x:v>ScheduledDeliveryDateKey</x:v>
      </x:c>
      <x:c r="C46" s="17" t="str">
        <x:v>Date relationship</x:v>
      </x:c>
    </x:row>
    <x:row r="47">
      <x:c r="A47" s="17" t="str">
        <x:v>FactShipmentLines</x:v>
      </x:c>
      <x:c r="B47" s="17" t="str">
        <x:v>ActualDeliveryDateKey</x:v>
      </x:c>
      <x:c r="C47" s="17" t="str">
        <x:v>Date relationship</x:v>
      </x:c>
    </x:row>
    <x:row r="48">
      <x:c r="A48" s="17" t="str">
        <x:v>FactShipmentLines</x:v>
      </x:c>
      <x:c r="B48" s="17" t="str">
        <x:v>DeliveryRecordedDateKey</x:v>
      </x:c>
      <x:c r="C48" s="17" t="str">
        <x:v>Date relationship</x:v>
      </x:c>
    </x:row>
    <x:row r="49">
      <x:c r="A49" s="17" t="str">
        <x:v>FactShipmentLines</x:v>
      </x:c>
      <x:c r="B49" s="17" t="str">
        <x:v>PurchaseOrderNumber</x:v>
      </x:c>
      <x:c r="C49" s="17" t="str">
        <x:v>Attribute</x:v>
      </x:c>
    </x:row>
    <x:row r="50">
      <x:c r="A50" s="17" t="str">
        <x:v>FactShipmentLines</x:v>
      </x:c>
      <x:c r="B50" s="17" t="str">
        <x:v>ASNOrDeliveryNote</x:v>
      </x:c>
      <x:c r="C50" s="17" t="str">
        <x:v>Attribute</x:v>
      </x:c>
    </x:row>
    <x:row r="51">
      <x:c r="A51" s="17" t="str">
        <x:v>FactShipmentLines</x:v>
      </x:c>
      <x:c r="B51" s="17" t="str">
        <x:v>FirstLineDesignation</x:v>
      </x:c>
      <x:c r="C51" s="17" t="str">
        <x:v>Filter / quality</x:v>
      </x:c>
    </x:row>
    <x:row r="52">
      <x:c r="A52" s="17" t="str">
        <x:v>FactShipmentLines</x:v>
      </x:c>
      <x:c r="B52" s="17" t="str">
        <x:v>LineItemQuantity</x:v>
      </x:c>
      <x:c r="C52" s="17" t="str">
        <x:v>Measure input</x:v>
      </x:c>
    </x:row>
    <x:row r="53">
      <x:c r="A53" s="17" t="str">
        <x:v>FactShipmentLines</x:v>
      </x:c>
      <x:c r="B53" s="17" t="str">
        <x:v>LineItemValueUSD</x:v>
      </x:c>
      <x:c r="C53" s="17" t="str">
        <x:v>Measure input</x:v>
      </x:c>
    </x:row>
    <x:row r="54">
      <x:c r="A54" s="17" t="str">
        <x:v>FactShipmentLines</x:v>
      </x:c>
      <x:c r="B54" s="17" t="str">
        <x:v>PackPriceUSD</x:v>
      </x:c>
      <x:c r="C54" s="17" t="str">
        <x:v>Measure input</x:v>
      </x:c>
    </x:row>
    <x:row r="55">
      <x:c r="A55" s="17" t="str">
        <x:v>FactShipmentLines</x:v>
      </x:c>
      <x:c r="B55" s="17" t="str">
        <x:v>UnitPriceUSD</x:v>
      </x:c>
      <x:c r="C55" s="17" t="str">
        <x:v>Measure input</x:v>
      </x:c>
    </x:row>
    <x:row r="56">
      <x:c r="A56" s="17" t="str">
        <x:v>FactShipmentLines</x:v>
      </x:c>
      <x:c r="B56" s="17" t="str">
        <x:v>WeightKg</x:v>
      </x:c>
      <x:c r="C56" s="17" t="str">
        <x:v>Measure input</x:v>
      </x:c>
    </x:row>
    <x:row r="57">
      <x:c r="A57" s="17" t="str">
        <x:v>FactShipmentLines</x:v>
      </x:c>
      <x:c r="B57" s="17" t="str">
        <x:v>FreightCostUSD</x:v>
      </x:c>
      <x:c r="C57" s="17" t="str">
        <x:v>Measure input</x:v>
      </x:c>
    </x:row>
    <x:row r="58">
      <x:c r="A58" s="17" t="str">
        <x:v>FactShipmentLines</x:v>
      </x:c>
      <x:c r="B58" s="17" t="str">
        <x:v>InsuranceUSD</x:v>
      </x:c>
      <x:c r="C58" s="17" t="str">
        <x:v>Attribute</x:v>
      </x:c>
    </x:row>
    <x:row r="59">
      <x:c r="A59" s="17" t="str">
        <x:v>FactShipmentLines</x:v>
      </x:c>
      <x:c r="B59" s="17" t="str">
        <x:v>DeliveryDelayDays</x:v>
      </x:c>
      <x:c r="C59" s="17" t="str">
        <x:v>Measure input</x:v>
      </x:c>
    </x:row>
    <x:row r="60">
      <x:c r="A60" s="17" t="str">
        <x:v>FactShipmentLines</x:v>
      </x:c>
      <x:c r="B60" s="17" t="str">
        <x:v>OrderToDeliveryDays</x:v>
      </x:c>
      <x:c r="C60" s="17" t="str">
        <x:v>Measure input</x:v>
      </x:c>
    </x:row>
    <x:row r="61">
      <x:c r="A61" s="17" t="str">
        <x:v>FactShipmentLines</x:v>
      </x:c>
      <x:c r="B61" s="17" t="str">
        <x:v>OnTimeFlag</x:v>
      </x:c>
      <x:c r="C61" s="17" t="str">
        <x:v>Filter / quality</x:v>
      </x:c>
    </x:row>
    <x:row r="62">
      <x:c r="A62" s="17" t="str">
        <x:v>FactShipmentLines</x:v>
      </x:c>
      <x:c r="B62" s="17" t="str">
        <x:v>LateFlag</x:v>
      </x:c>
      <x:c r="C62" s="17" t="str">
        <x:v>Filter / quality</x:v>
      </x:c>
    </x:row>
    <x:row r="63">
      <x:c r="A63" s="17" t="str">
        <x:v>FactShipmentLines</x:v>
      </x:c>
      <x:c r="B63" s="17" t="str">
        <x:v>WeightAvailableFlag</x:v>
      </x:c>
      <x:c r="C63" s="17" t="str">
        <x:v>Filter / quality</x:v>
      </x:c>
    </x:row>
    <x:row r="64">
      <x:c r="A64" s="17" t="str">
        <x:v>FactShipmentLines</x:v>
      </x:c>
      <x:c r="B64" s="17" t="str">
        <x:v>FreightCostAvailableFlag</x:v>
      </x:c>
      <x:c r="C64" s="17" t="str">
        <x:v>Filter / quality</x:v>
      </x:c>
    </x:row>
    <x:row r="65">
      <x:c r="A65" s="17" t="str">
        <x:v>FactShipmentLines</x:v>
      </x:c>
      <x:c r="B65" s="17" t="str">
        <x:v>QualityIssueCount</x:v>
      </x:c>
      <x:c r="C65" s="17" t="str">
        <x:v>Measure input</x:v>
      </x:c>
    </x:row>
    <x:row r="66">
      <x:c r="A66" s="17" t="str">
        <x:v>FactShipmentLines</x:v>
      </x:c>
      <x:c r="B66" s="17" t="str">
        <x:v>QualityIssues</x:v>
      </x:c>
      <x:c r="C66" s="17" t="str">
        <x:v>Filter / quality</x:v>
      </x:c>
    </x:row>
    <x:row r="67">
      <x:c r="A67" s="17" t="str">
        <x:v>FactShipmentLines</x:v>
      </x:c>
      <x:c r="B67" s="17" t="str">
        <x:v>ShipmentKey</x:v>
      </x:c>
      <x:c r="C67" s="17" t="str">
        <x:v>Key / relationship</x:v>
      </x:c>
    </x:row>
    <x:row r="68">
      <x:c r="A68" s="17" t="str">
        <x:v>FactShipments</x:v>
      </x:c>
      <x:c r="B68" s="17" t="str">
        <x:v>ShipmentKey</x:v>
      </x:c>
      <x:c r="C68" s="17" t="str">
        <x:v>Key / relationship</x:v>
      </x:c>
    </x:row>
    <x:row r="69">
      <x:c r="A69" s="17" t="str">
        <x:v>FactShipments</x:v>
      </x:c>
      <x:c r="B69" s="17" t="str">
        <x:v>ASNOrDeliveryNote</x:v>
      </x:c>
      <x:c r="C69" s="17" t="str">
        <x:v>Attribute</x:v>
      </x:c>
    </x:row>
    <x:row r="70">
      <x:c r="A70" s="17" t="str">
        <x:v>FactShipments</x:v>
      </x:c>
      <x:c r="B70" s="17" t="str">
        <x:v>ProjectKey</x:v>
      </x:c>
      <x:c r="C70" s="17" t="str">
        <x:v>Key / relationship</x:v>
      </x:c>
    </x:row>
    <x:row r="71">
      <x:c r="A71" s="17" t="str">
        <x:v>FactShipments</x:v>
      </x:c>
      <x:c r="B71" s="17" t="str">
        <x:v>CountryKey</x:v>
      </x:c>
      <x:c r="C71" s="17" t="str">
        <x:v>Key / relationship</x:v>
      </x:c>
    </x:row>
    <x:row r="72">
      <x:c r="A72" s="17" t="str">
        <x:v>FactShipments</x:v>
      </x:c>
      <x:c r="B72" s="17" t="str">
        <x:v>VendorKey</x:v>
      </x:c>
      <x:c r="C72" s="17" t="str">
        <x:v>Key / relationship</x:v>
      </x:c>
    </x:row>
    <x:row r="73">
      <x:c r="A73" s="17" t="str">
        <x:v>FactShipments</x:v>
      </x:c>
      <x:c r="B73" s="17" t="str">
        <x:v>ManufacturingSiteKey</x:v>
      </x:c>
      <x:c r="C73" s="17" t="str">
        <x:v>Key / relationship</x:v>
      </x:c>
    </x:row>
    <x:row r="74">
      <x:c r="A74" s="17" t="str">
        <x:v>FactShipments</x:v>
      </x:c>
      <x:c r="B74" s="17" t="str">
        <x:v>ShippingMethodKey</x:v>
      </x:c>
      <x:c r="C74" s="17" t="str">
        <x:v>Key / relationship</x:v>
      </x:c>
    </x:row>
    <x:row r="75">
      <x:c r="A75" s="17" t="str">
        <x:v>FactShipments</x:v>
      </x:c>
      <x:c r="B75" s="17" t="str">
        <x:v>OrderDateKey</x:v>
      </x:c>
      <x:c r="C75" s="17" t="str">
        <x:v>Date relationship</x:v>
      </x:c>
    </x:row>
    <x:row r="76">
      <x:c r="A76" s="17" t="str">
        <x:v>FactShipments</x:v>
      </x:c>
      <x:c r="B76" s="17" t="str">
        <x:v>ScheduledDeliveryDateKey</x:v>
      </x:c>
      <x:c r="C76" s="17" t="str">
        <x:v>Date relationship</x:v>
      </x:c>
    </x:row>
    <x:row r="77">
      <x:c r="A77" s="17" t="str">
        <x:v>FactShipments</x:v>
      </x:c>
      <x:c r="B77" s="17" t="str">
        <x:v>ActualDeliveryDateKey</x:v>
      </x:c>
      <x:c r="C77" s="17" t="str">
        <x:v>Date relationship</x:v>
      </x:c>
    </x:row>
    <x:row r="78">
      <x:c r="A78" s="17" t="str">
        <x:v>FactShipments</x:v>
      </x:c>
      <x:c r="B78" s="17" t="str">
        <x:v>DeliveryRecordedDateKey</x:v>
      </x:c>
      <x:c r="C78" s="17" t="str">
        <x:v>Date relationship</x:v>
      </x:c>
    </x:row>
    <x:row r="79">
      <x:c r="A79" s="17" t="str">
        <x:v>FactShipments</x:v>
      </x:c>
      <x:c r="B79" s="17" t="str">
        <x:v>PurchaseOrderNumber</x:v>
      </x:c>
      <x:c r="C79" s="17" t="str">
        <x:v>Attribute</x:v>
      </x:c>
    </x:row>
    <x:row r="80">
      <x:c r="A80" s="17" t="str">
        <x:v>FactShipments</x:v>
      </x:c>
      <x:c r="B80" s="17" t="str">
        <x:v>ShipmentLineCount</x:v>
      </x:c>
      <x:c r="C80" s="17" t="str">
        <x:v>Measure input</x:v>
      </x:c>
    </x:row>
    <x:row r="81">
      <x:c r="A81" s="17" t="str">
        <x:v>FactShipments</x:v>
      </x:c>
      <x:c r="B81" s="17" t="str">
        <x:v>LineItemQuantity</x:v>
      </x:c>
      <x:c r="C81" s="17" t="str">
        <x:v>Measure input</x:v>
      </x:c>
    </x:row>
    <x:row r="82">
      <x:c r="A82" s="17" t="str">
        <x:v>FactShipments</x:v>
      </x:c>
      <x:c r="B82" s="17" t="str">
        <x:v>LineItemValueUSD</x:v>
      </x:c>
      <x:c r="C82" s="17" t="str">
        <x:v>Measure input</x:v>
      </x:c>
    </x:row>
    <x:row r="83">
      <x:c r="A83" s="17" t="str">
        <x:v>FactShipments</x:v>
      </x:c>
      <x:c r="B83" s="17" t="str">
        <x:v>InsuranceUSD</x:v>
      </x:c>
      <x:c r="C83" s="17" t="str">
        <x:v>Attribute</x:v>
      </x:c>
    </x:row>
    <x:row r="84">
      <x:c r="A84" s="17" t="str">
        <x:v>FactShipments</x:v>
      </x:c>
      <x:c r="B84" s="17" t="str">
        <x:v>WeightKg</x:v>
      </x:c>
      <x:c r="C84" s="17" t="str">
        <x:v>Measure input</x:v>
      </x:c>
    </x:row>
    <x:row r="85">
      <x:c r="A85" s="17" t="str">
        <x:v>FactShipments</x:v>
      </x:c>
      <x:c r="B85" s="17" t="str">
        <x:v>FreightCostUSD</x:v>
      </x:c>
      <x:c r="C85" s="17" t="str">
        <x:v>Measure input</x:v>
      </x:c>
    </x:row>
    <x:row r="86">
      <x:c r="A86" s="17" t="str">
        <x:v>FactShipments</x:v>
      </x:c>
      <x:c r="B86" s="17" t="str">
        <x:v>DeliveryDelayDays</x:v>
      </x:c>
      <x:c r="C86" s="17" t="str">
        <x:v>Measure input</x:v>
      </x:c>
    </x:row>
    <x:row r="87">
      <x:c r="A87" s="17" t="str">
        <x:v>FactShipments</x:v>
      </x:c>
      <x:c r="B87" s="17" t="str">
        <x:v>OrderToDeliveryDays</x:v>
      </x:c>
      <x:c r="C87" s="17" t="str">
        <x:v>Measure input</x:v>
      </x:c>
    </x:row>
    <x:row r="88">
      <x:c r="A88" s="17" t="str">
        <x:v>FactShipments</x:v>
      </x:c>
      <x:c r="B88" s="17" t="str">
        <x:v>OnTimeFlag</x:v>
      </x:c>
      <x:c r="C88" s="17" t="str">
        <x:v>Filter / quality</x:v>
      </x:c>
    </x:row>
    <x:row r="89">
      <x:c r="A89" s="17" t="str">
        <x:v>FactShipments</x:v>
      </x:c>
      <x:c r="B89" s="17" t="str">
        <x:v>LateFlag</x:v>
      </x:c>
      <x:c r="C89" s="17" t="str">
        <x:v>Filter / quality</x:v>
      </x:c>
    </x:row>
    <x:row r="90">
      <x:c r="A90" s="17" t="str">
        <x:v>FactShipments</x:v>
      </x:c>
      <x:c r="B90" s="17" t="str">
        <x:v>FirstLineDesignation</x:v>
      </x:c>
      <x:c r="C90" s="17" t="str">
        <x:v>Filter / quality</x:v>
      </x:c>
    </x:row>
    <x:row r="91">
      <x:c r="A91" s="17" t="str">
        <x:v>FactShipments</x:v>
      </x:c>
      <x:c r="B91" s="17" t="str">
        <x:v>AttributeConflictCount</x:v>
      </x:c>
      <x:c r="C91" s="17" t="str">
        <x:v>Measure input</x:v>
      </x:c>
    </x:row>
    <x:row r="92">
      <x:c r="A92" s="18" t="str">
        <x:v>FactShipments</x:v>
      </x:c>
      <x:c r="B92" s="18" t="str">
        <x:v>QualityIssueCount</x:v>
      </x:c>
      <x:c r="C92" s="18" t="str">
        <x:v>Measure input</x:v>
      </x:c>
    </x:row>
  </x:sheetData>
  <x:pageMargins left="0.7" right="0.7" top="0.75" bottom="0.75" header="0.3" footer="0.3"/>
  <x:tableParts count="1">
    <x:tablePart xmlns:r="http://schemas.openxmlformats.org/officeDocument/2006/relationships" r:id="Rfedae49a7cd040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2">
      <x:c r="A2" s="1" t="str">
        <x:v>Source and scope</x:v>
      </x:c>
    </x:row>
    <x:row r="3">
      <x:c r="A3" s="2" t="str">
        <x:v>Public historical dataset with versioned download provenance</x:v>
      </x:c>
    </x:row>
    <x:row r="4">
      <x:c r="A4" s="3"/>
      <x:c r="B4" s="3"/>
      <x:c r="C4" s="3"/>
      <x:c r="D4" s="3"/>
    </x:row>
    <x:row r="6" ht="24" customHeight="1">
      <x:c r="A6" s="10" t="str">
        <x:v>Field</x:v>
      </x:c>
      <x:c r="B6" s="11" t="str">
        <x:v>Value</x:v>
      </x:c>
    </x:row>
    <x:row r="7">
      <x:c r="A7" s="16" t="str">
        <x:v>Dataset</x:v>
      </x:c>
      <x:c r="B7" s="16" t="str">
        <x:v>Supply Chain Shipment Pricing Data</x:v>
      </x:c>
    </x:row>
    <x:row r="8">
      <x:c r="A8" s="17" t="str">
        <x:v>Publisher</x:v>
      </x:c>
      <x:c r="B8" s="17" t="str">
        <x:v>U.S. Agency for International Development</x:v>
      </x:c>
    </x:row>
    <x:row r="9">
      <x:c r="A9" s="17" t="str">
        <x:v>Original portal ID</x:v>
      </x:c>
      <x:c r="B9" s="17" t="str">
        <x:v>a3rc-nmf6</x:v>
      </x:c>
    </x:row>
    <x:row r="10">
      <x:c r="A10" s="17" t="str">
        <x:v>Coverage</x:v>
      </x:c>
      <x:c r="B10" s="17" t="str">
        <x:v>2006-04-19 to 2015-12-31</x:v>
      </x:c>
    </x:row>
    <x:row r="11">
      <x:c r="A11" s="17" t="str">
        <x:v>Raw records</x:v>
      </x:c>
      <x:c r="B11" s="20" t="n">
        <x:v>10324</x:v>
      </x:c>
    </x:row>
    <x:row r="12">
      <x:c r="A12" s="17" t="str">
        <x:v>Downloaded</x:v>
      </x:c>
      <x:c r="B12" s="17" t="str">
        <x:v>2026-10-06</x:v>
      </x:c>
    </x:row>
    <x:row r="13">
      <x:c r="A13" s="17" t="str">
        <x:v>Local SHA-256</x:v>
      </x:c>
      <x:c r="B13" s="17" t="str">
        <x:v>c9ca9530539e7dbf37b377f3fcd383e1faa81c8e41c707e280b20a485508a537</x:v>
      </x:c>
    </x:row>
    <x:row r="14">
      <x:c r="A14" s="17" t="str">
        <x:v>Data.gov catalog</x:v>
      </x:c>
      <x:c r="B14" s="17" t="str">
        <x:v>https://catalog.data.gov/dataset/supply-chain-shipment-pricing-dataset</x:v>
      </x:c>
    </x:row>
    <x:row r="15">
      <x:c r="A15" s="17" t="str">
        <x:v>Versioned mirror</x:v>
      </x:c>
      <x:c r="B15" s="17" t="str">
        <x:v>https://github.com/UmbertoFasci/Supply-Chain-Pricing-USAID</x:v>
      </x:c>
    </x:row>
    <x:row r="16">
      <x:c r="A16" s="18" t="str">
        <x:v>Mirror Git blob SHA</x:v>
      </x:c>
      <x:c r="B16" s="18" t="str">
        <x:v>f65bdd023f4c816990690c50847ca2cb82d51c52</x:v>
      </x:c>
    </x:row>
    <x:row r="19">
      <x:c r="A19" s="32" t="str">
        <x:v>Scope note</x:v>
      </x:c>
    </x:row>
    <x:row r="20">
      <x:c r="A20" s="12" t="str">
        <x:v>The report describes historical deliveries from 2006 through 2015. It does not measure current USAID performance.</x:v>
      </x:c>
    </x:row>
  </x:sheetData>
  <x:pageMargins left="0.7" right="0.7" top="0.75" bottom="0.75" header="0.3" footer="0.3"/>
</x:worksheet>
</file>